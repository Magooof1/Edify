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1"/>
  <workbookPr/>
  <mc:AlternateContent xmlns:mc="http://schemas.openxmlformats.org/markup-compatibility/2006">
    <mc:Choice Requires="x15">
      <x15ac:absPath xmlns:x15ac="http://schemas.microsoft.com/office/spreadsheetml/2010/11/ac" url="C:\Users\kirknagle\Desktop\"/>
    </mc:Choice>
  </mc:AlternateContent>
  <xr:revisionPtr revIDLastSave="0" documentId="8_{8C7B358A-E28A-6246-8B49-552441BA9A57}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Trulip 52 to 65 15-mi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G32" i="1"/>
  <c r="H32" i="1"/>
  <c r="I32" i="1"/>
  <c r="J32" i="1"/>
  <c r="K26" i="1"/>
  <c r="K27" i="1"/>
  <c r="K28" i="1"/>
  <c r="K29" i="1"/>
  <c r="K30" i="1"/>
  <c r="K31" i="1"/>
  <c r="K32" i="1"/>
  <c r="K22" i="1"/>
</calcChain>
</file>

<file path=xl/sharedStrings.xml><?xml version="1.0" encoding="utf-8"?>
<sst xmlns="http://schemas.openxmlformats.org/spreadsheetml/2006/main" count="30" uniqueCount="29">
  <si>
    <t>$100,000 to $249,999</t>
  </si>
  <si>
    <t>$250,000 to $499,999</t>
  </si>
  <si>
    <t>$500,000 to $749,999</t>
  </si>
  <si>
    <t>$750,000 to $999,999</t>
  </si>
  <si>
    <t>$1,000,000 to $1,999,999</t>
  </si>
  <si>
    <t>$2,000,000 to $3,000,000</t>
  </si>
  <si>
    <t>Greater than $3,000,000</t>
  </si>
  <si>
    <t>Net worth by IPA</t>
  </si>
  <si>
    <t>Under $25k</t>
  </si>
  <si>
    <t>$25,000 - $49,999</t>
  </si>
  <si>
    <t>$50,000 - $74,999</t>
  </si>
  <si>
    <t>$75,000 - $99,999</t>
  </si>
  <si>
    <t>$100,000 - $149,999</t>
  </si>
  <si>
    <t>$150,000 - $249,999</t>
  </si>
  <si>
    <t>$250,000 - $499,999</t>
  </si>
  <si>
    <t>$500,000 - $749,999</t>
  </si>
  <si>
    <t>$750,000 - $999,999</t>
  </si>
  <si>
    <t>$1,000,000 - $1,999,999</t>
  </si>
  <si>
    <t>$2,000,000 - $2,999,999</t>
  </si>
  <si>
    <t>Over $3,000,000</t>
  </si>
  <si>
    <t>Less than $25,000</t>
  </si>
  <si>
    <t>$25,000 to $49,999</t>
  </si>
  <si>
    <t>$50,000 to $74,999</t>
  </si>
  <si>
    <t>$75,000 to $99,999</t>
  </si>
  <si>
    <t>Total</t>
  </si>
  <si>
    <t>TrulipPlanning101226 (REF: Z0124135) 52 to 65 in a 15-mile radius</t>
  </si>
  <si>
    <t>Ages 52 to 65 in a 15-mile radius of 20 Kenton Dr, Highland heights, KY 41076, shown by net worth by IPA, excluding Asians/Indians, 1-per address.</t>
  </si>
  <si>
    <t>At $100K to $1.9MM-IPA:</t>
  </si>
  <si>
    <t>At $100K to $1.9MM-IPA and net worth: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</si>
</sst>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6" fillId="0" borderId="0" xfId="0" applyFont="1"/>
    <xf numFmtId="0" fontId="16" fillId="0" borderId="10" xfId="0" applyFont="1" applyBorder="1"/>
    <xf numFmtId="0" fontId="16" fillId="33" borderId="10" xfId="0" applyFont="1" applyFill="1" applyBorder="1"/>
    <xf numFmtId="0" fontId="0" fillId="33" borderId="10" xfId="0" applyFill="1" applyBorder="1"/>
    <xf numFmtId="0" fontId="16" fillId="34" borderId="10" xfId="0" applyFont="1" applyFill="1" applyBorder="1"/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sqref="A1:E1"/>
    </sheetView>
  </sheetViews>
  <sheetFormatPr defaultRowHeight="15" x14ac:dyDescent="0.2"/>
  <cols>
    <col min="1" max="1" width="22.8671875" style="2" customWidth="1"/>
    <col min="9" max="9" width="9.14453125" style="2"/>
    <col min="13" max="13" width="9.14453125" style="2"/>
  </cols>
  <sheetData>
    <row r="1" spans="1:14" x14ac:dyDescent="0.2">
      <c r="A1" s="7" t="s">
        <v>25</v>
      </c>
      <c r="B1" s="7"/>
      <c r="C1" s="7"/>
      <c r="D1" s="7"/>
      <c r="E1" s="7"/>
    </row>
    <row r="3" spans="1:14" x14ac:dyDescent="0.2">
      <c r="A3" s="7" t="s">
        <v>26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5" spans="1:14" s="2" customFormat="1" x14ac:dyDescent="0.2">
      <c r="A5" s="3" t="s">
        <v>7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0</v>
      </c>
      <c r="G5" s="3" t="s">
        <v>1</v>
      </c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  <c r="M5" s="3" t="s">
        <v>24</v>
      </c>
    </row>
    <row r="6" spans="1:14" x14ac:dyDescent="0.2">
      <c r="A6" s="3" t="s">
        <v>8</v>
      </c>
      <c r="B6" s="1">
        <v>12704</v>
      </c>
      <c r="C6" s="1">
        <v>741</v>
      </c>
      <c r="D6" s="1">
        <v>346</v>
      </c>
      <c r="E6" s="1">
        <v>162</v>
      </c>
      <c r="F6" s="1">
        <v>310</v>
      </c>
      <c r="G6" s="1">
        <v>80</v>
      </c>
      <c r="H6" s="1">
        <v>30</v>
      </c>
      <c r="I6" s="1">
        <v>9</v>
      </c>
      <c r="J6" s="1">
        <v>9</v>
      </c>
      <c r="K6" s="1">
        <v>0</v>
      </c>
      <c r="L6" s="1">
        <v>0</v>
      </c>
      <c r="M6" s="3">
        <v>14391</v>
      </c>
    </row>
    <row r="7" spans="1:14" x14ac:dyDescent="0.2">
      <c r="A7" s="3" t="s">
        <v>9</v>
      </c>
      <c r="B7" s="1">
        <v>2629</v>
      </c>
      <c r="C7" s="1">
        <v>504</v>
      </c>
      <c r="D7" s="1">
        <v>265</v>
      </c>
      <c r="E7" s="1">
        <v>115</v>
      </c>
      <c r="F7" s="1">
        <v>321</v>
      </c>
      <c r="G7" s="1">
        <v>115</v>
      </c>
      <c r="H7" s="1">
        <v>37</v>
      </c>
      <c r="I7" s="1">
        <v>21</v>
      </c>
      <c r="J7" s="1">
        <v>14</v>
      </c>
      <c r="K7" s="1">
        <v>5</v>
      </c>
      <c r="L7" s="1">
        <v>2</v>
      </c>
      <c r="M7" s="3">
        <v>4028</v>
      </c>
    </row>
    <row r="8" spans="1:14" x14ac:dyDescent="0.2">
      <c r="A8" s="3" t="s">
        <v>10</v>
      </c>
      <c r="B8" s="1">
        <v>1573</v>
      </c>
      <c r="C8" s="1">
        <v>359</v>
      </c>
      <c r="D8" s="1">
        <v>195</v>
      </c>
      <c r="E8" s="1">
        <v>123</v>
      </c>
      <c r="F8" s="1">
        <v>293</v>
      </c>
      <c r="G8" s="1">
        <v>113</v>
      </c>
      <c r="H8" s="1">
        <v>25</v>
      </c>
      <c r="I8" s="1">
        <v>17</v>
      </c>
      <c r="J8" s="1">
        <v>19</v>
      </c>
      <c r="K8" s="1">
        <v>5</v>
      </c>
      <c r="L8" s="1">
        <v>0</v>
      </c>
      <c r="M8" s="3">
        <v>2722</v>
      </c>
    </row>
    <row r="9" spans="1:14" x14ac:dyDescent="0.2">
      <c r="A9" s="3" t="s">
        <v>11</v>
      </c>
      <c r="B9" s="1">
        <v>1136</v>
      </c>
      <c r="C9" s="1">
        <v>358</v>
      </c>
      <c r="D9" s="1">
        <v>188</v>
      </c>
      <c r="E9" s="1">
        <v>95</v>
      </c>
      <c r="F9" s="1">
        <v>275</v>
      </c>
      <c r="G9" s="1">
        <v>89</v>
      </c>
      <c r="H9" s="1">
        <v>45</v>
      </c>
      <c r="I9" s="1">
        <v>24</v>
      </c>
      <c r="J9" s="1">
        <v>18</v>
      </c>
      <c r="K9" s="1">
        <v>1</v>
      </c>
      <c r="L9" s="1">
        <v>1</v>
      </c>
      <c r="M9" s="3">
        <v>2230</v>
      </c>
    </row>
    <row r="10" spans="1:14" x14ac:dyDescent="0.2">
      <c r="A10" s="3" t="s">
        <v>12</v>
      </c>
      <c r="B10" s="1">
        <v>1939</v>
      </c>
      <c r="C10" s="1">
        <v>677</v>
      </c>
      <c r="D10" s="1">
        <v>442</v>
      </c>
      <c r="E10" s="1">
        <v>284</v>
      </c>
      <c r="F10" s="5">
        <v>677</v>
      </c>
      <c r="G10" s="5">
        <v>301</v>
      </c>
      <c r="H10" s="5">
        <v>113</v>
      </c>
      <c r="I10" s="5">
        <v>52</v>
      </c>
      <c r="J10" s="5">
        <v>60</v>
      </c>
      <c r="K10" s="1">
        <v>21</v>
      </c>
      <c r="L10" s="1">
        <v>13</v>
      </c>
      <c r="M10" s="3">
        <v>4579</v>
      </c>
    </row>
    <row r="11" spans="1:14" x14ac:dyDescent="0.2">
      <c r="A11" s="3" t="s">
        <v>13</v>
      </c>
      <c r="B11" s="1">
        <v>2044</v>
      </c>
      <c r="C11" s="1">
        <v>875</v>
      </c>
      <c r="D11" s="1">
        <v>595</v>
      </c>
      <c r="E11" s="1">
        <v>420</v>
      </c>
      <c r="F11" s="5">
        <v>1146</v>
      </c>
      <c r="G11" s="5">
        <v>592</v>
      </c>
      <c r="H11" s="5">
        <v>239</v>
      </c>
      <c r="I11" s="5">
        <v>132</v>
      </c>
      <c r="J11" s="5">
        <v>165</v>
      </c>
      <c r="K11" s="1">
        <v>40</v>
      </c>
      <c r="L11" s="1">
        <v>42</v>
      </c>
      <c r="M11" s="3">
        <v>6290</v>
      </c>
    </row>
    <row r="12" spans="1:14" x14ac:dyDescent="0.2">
      <c r="A12" s="3" t="s">
        <v>14</v>
      </c>
      <c r="B12" s="1">
        <v>1688</v>
      </c>
      <c r="C12" s="1">
        <v>1057</v>
      </c>
      <c r="D12" s="1">
        <v>870</v>
      </c>
      <c r="E12" s="1">
        <v>612</v>
      </c>
      <c r="F12" s="5">
        <v>2085</v>
      </c>
      <c r="G12" s="5">
        <v>1244</v>
      </c>
      <c r="H12" s="5">
        <v>598</v>
      </c>
      <c r="I12" s="5">
        <v>310</v>
      </c>
      <c r="J12" s="5">
        <v>470</v>
      </c>
      <c r="K12" s="1">
        <v>165</v>
      </c>
      <c r="L12" s="1">
        <v>143</v>
      </c>
      <c r="M12" s="3">
        <v>9242</v>
      </c>
    </row>
    <row r="13" spans="1:14" x14ac:dyDescent="0.2">
      <c r="A13" s="3" t="s">
        <v>15</v>
      </c>
      <c r="B13" s="1">
        <v>548</v>
      </c>
      <c r="C13" s="1">
        <v>421</v>
      </c>
      <c r="D13" s="1">
        <v>413</v>
      </c>
      <c r="E13" s="1">
        <v>314</v>
      </c>
      <c r="F13" s="5">
        <v>1208</v>
      </c>
      <c r="G13" s="5">
        <v>801</v>
      </c>
      <c r="H13" s="5">
        <v>415</v>
      </c>
      <c r="I13" s="5">
        <v>285</v>
      </c>
      <c r="J13" s="5">
        <v>390</v>
      </c>
      <c r="K13" s="1">
        <v>175</v>
      </c>
      <c r="L13" s="1">
        <v>129</v>
      </c>
      <c r="M13" s="3">
        <v>5099</v>
      </c>
    </row>
    <row r="14" spans="1:14" x14ac:dyDescent="0.2">
      <c r="A14" s="3" t="s">
        <v>16</v>
      </c>
      <c r="B14" s="1">
        <v>278</v>
      </c>
      <c r="C14" s="1">
        <v>271</v>
      </c>
      <c r="D14" s="1">
        <v>271</v>
      </c>
      <c r="E14" s="1">
        <v>198</v>
      </c>
      <c r="F14" s="5">
        <v>914</v>
      </c>
      <c r="G14" s="5">
        <v>740</v>
      </c>
      <c r="H14" s="5">
        <v>443</v>
      </c>
      <c r="I14" s="5">
        <v>325</v>
      </c>
      <c r="J14" s="5">
        <v>520</v>
      </c>
      <c r="K14" s="1">
        <v>204</v>
      </c>
      <c r="L14" s="1">
        <v>200</v>
      </c>
      <c r="M14" s="3">
        <v>4364</v>
      </c>
    </row>
    <row r="15" spans="1:14" x14ac:dyDescent="0.2">
      <c r="A15" s="3" t="s">
        <v>17</v>
      </c>
      <c r="B15" s="1">
        <v>165</v>
      </c>
      <c r="C15" s="1">
        <v>203</v>
      </c>
      <c r="D15" s="1">
        <v>235</v>
      </c>
      <c r="E15" s="1">
        <v>177</v>
      </c>
      <c r="F15" s="5">
        <v>828</v>
      </c>
      <c r="G15" s="5">
        <v>809</v>
      </c>
      <c r="H15" s="5">
        <v>527</v>
      </c>
      <c r="I15" s="5">
        <v>341</v>
      </c>
      <c r="J15" s="5">
        <v>710</v>
      </c>
      <c r="K15" s="1">
        <v>289</v>
      </c>
      <c r="L15" s="1">
        <v>350</v>
      </c>
      <c r="M15" s="3">
        <v>4634</v>
      </c>
    </row>
    <row r="16" spans="1:14" s="2" customFormat="1" x14ac:dyDescent="0.2">
      <c r="A16" s="3" t="s">
        <v>18</v>
      </c>
      <c r="B16" s="1">
        <v>48</v>
      </c>
      <c r="C16" s="1">
        <v>73</v>
      </c>
      <c r="D16" s="1">
        <v>94</v>
      </c>
      <c r="E16" s="1">
        <v>86</v>
      </c>
      <c r="F16" s="1">
        <v>509</v>
      </c>
      <c r="G16" s="1">
        <v>534</v>
      </c>
      <c r="H16" s="1">
        <v>415</v>
      </c>
      <c r="I16" s="1">
        <v>315</v>
      </c>
      <c r="J16" s="1">
        <v>647</v>
      </c>
      <c r="K16" s="1">
        <v>317</v>
      </c>
      <c r="L16" s="1">
        <v>491</v>
      </c>
      <c r="M16" s="3">
        <v>3529</v>
      </c>
    </row>
    <row r="17" spans="1:13" x14ac:dyDescent="0.2">
      <c r="A17" s="3" t="s">
        <v>19</v>
      </c>
      <c r="B17" s="1">
        <v>22</v>
      </c>
      <c r="C17" s="1">
        <v>32</v>
      </c>
      <c r="D17" s="1">
        <v>48</v>
      </c>
      <c r="E17" s="1">
        <v>38</v>
      </c>
      <c r="F17" s="1">
        <v>307</v>
      </c>
      <c r="G17" s="1">
        <v>418</v>
      </c>
      <c r="H17" s="1">
        <v>369</v>
      </c>
      <c r="I17" s="1">
        <v>316</v>
      </c>
      <c r="J17" s="1">
        <v>816</v>
      </c>
      <c r="K17" s="1">
        <v>500</v>
      </c>
      <c r="L17" s="1">
        <v>979</v>
      </c>
      <c r="M17" s="3">
        <v>3845</v>
      </c>
    </row>
    <row r="18" spans="1:13" s="2" customFormat="1" x14ac:dyDescent="0.2">
      <c r="A18" s="3" t="s">
        <v>24</v>
      </c>
      <c r="B18" s="3">
        <v>24774</v>
      </c>
      <c r="C18" s="3">
        <v>5571</v>
      </c>
      <c r="D18" s="3">
        <v>3962</v>
      </c>
      <c r="E18" s="3">
        <v>2624</v>
      </c>
      <c r="F18" s="4">
        <v>8873</v>
      </c>
      <c r="G18" s="4">
        <v>5836</v>
      </c>
      <c r="H18" s="4">
        <v>3256</v>
      </c>
      <c r="I18" s="4">
        <v>2147</v>
      </c>
      <c r="J18" s="4">
        <v>3838</v>
      </c>
      <c r="K18" s="3">
        <v>1722</v>
      </c>
      <c r="L18" s="3">
        <v>2350</v>
      </c>
      <c r="M18" s="3">
        <v>64953</v>
      </c>
    </row>
    <row r="20" spans="1:13" x14ac:dyDescent="0.2">
      <c r="F20" s="7" t="s">
        <v>27</v>
      </c>
      <c r="G20" s="7"/>
      <c r="H20" s="7"/>
      <c r="I20"/>
    </row>
    <row r="21" spans="1:13" x14ac:dyDescent="0.2">
      <c r="I21"/>
    </row>
    <row r="22" spans="1:13" x14ac:dyDescent="0.2">
      <c r="F22" s="4">
        <v>8873</v>
      </c>
      <c r="G22" s="4">
        <v>5836</v>
      </c>
      <c r="H22" s="4">
        <v>3256</v>
      </c>
      <c r="I22" s="4">
        <v>2147</v>
      </c>
      <c r="J22" s="4">
        <v>3838</v>
      </c>
      <c r="K22" s="6">
        <f>SUM(F22:J22)</f>
        <v>23950</v>
      </c>
      <c r="L22" s="2"/>
    </row>
    <row r="23" spans="1:13" x14ac:dyDescent="0.2">
      <c r="I23"/>
      <c r="K23" s="2"/>
    </row>
    <row r="24" spans="1:13" x14ac:dyDescent="0.2">
      <c r="F24" s="7" t="s">
        <v>28</v>
      </c>
      <c r="G24" s="7"/>
      <c r="H24" s="7"/>
      <c r="I24" s="7"/>
      <c r="J24" s="7"/>
    </row>
    <row r="25" spans="1:13" x14ac:dyDescent="0.2">
      <c r="I25"/>
      <c r="K25" s="2"/>
    </row>
    <row r="26" spans="1:13" x14ac:dyDescent="0.2">
      <c r="F26" s="5">
        <v>677</v>
      </c>
      <c r="G26" s="5">
        <v>301</v>
      </c>
      <c r="H26" s="5">
        <v>113</v>
      </c>
      <c r="I26" s="5">
        <v>52</v>
      </c>
      <c r="J26" s="5">
        <v>60</v>
      </c>
      <c r="K26" s="3">
        <f>SUM(F26:J26)</f>
        <v>1203</v>
      </c>
    </row>
    <row r="27" spans="1:13" x14ac:dyDescent="0.2">
      <c r="F27" s="5">
        <v>1146</v>
      </c>
      <c r="G27" s="5">
        <v>592</v>
      </c>
      <c r="H27" s="5">
        <v>239</v>
      </c>
      <c r="I27" s="5">
        <v>132</v>
      </c>
      <c r="J27" s="5">
        <v>165</v>
      </c>
      <c r="K27" s="3">
        <f>SUM(F27:J27)</f>
        <v>2274</v>
      </c>
    </row>
    <row r="28" spans="1:13" x14ac:dyDescent="0.2">
      <c r="F28" s="5">
        <v>2085</v>
      </c>
      <c r="G28" s="5">
        <v>1244</v>
      </c>
      <c r="H28" s="5">
        <v>598</v>
      </c>
      <c r="I28" s="5">
        <v>310</v>
      </c>
      <c r="J28" s="5">
        <v>470</v>
      </c>
      <c r="K28" s="3">
        <f>SUM(F28:J28)</f>
        <v>4707</v>
      </c>
    </row>
    <row r="29" spans="1:13" x14ac:dyDescent="0.2">
      <c r="F29" s="5">
        <v>1208</v>
      </c>
      <c r="G29" s="5">
        <v>801</v>
      </c>
      <c r="H29" s="5">
        <v>415</v>
      </c>
      <c r="I29" s="5">
        <v>285</v>
      </c>
      <c r="J29" s="5">
        <v>390</v>
      </c>
      <c r="K29" s="3">
        <f>SUM(F29:J29)</f>
        <v>3099</v>
      </c>
    </row>
    <row r="30" spans="1:13" x14ac:dyDescent="0.2">
      <c r="F30" s="5">
        <v>914</v>
      </c>
      <c r="G30" s="5">
        <v>740</v>
      </c>
      <c r="H30" s="5">
        <v>443</v>
      </c>
      <c r="I30" s="5">
        <v>325</v>
      </c>
      <c r="J30" s="5">
        <v>520</v>
      </c>
      <c r="K30" s="3">
        <f>SUM(F30:J30)</f>
        <v>2942</v>
      </c>
    </row>
    <row r="31" spans="1:13" x14ac:dyDescent="0.2">
      <c r="F31" s="5">
        <v>828</v>
      </c>
      <c r="G31" s="5">
        <v>809</v>
      </c>
      <c r="H31" s="5">
        <v>527</v>
      </c>
      <c r="I31" s="5">
        <v>341</v>
      </c>
      <c r="J31" s="5">
        <v>710</v>
      </c>
      <c r="K31" s="3">
        <f>SUM(F31:J31)</f>
        <v>3215</v>
      </c>
    </row>
    <row r="32" spans="1:13" x14ac:dyDescent="0.2">
      <c r="F32" s="3">
        <f>SUM(F26:F31)</f>
        <v>6858</v>
      </c>
      <c r="G32" s="3">
        <f>SUM(G26:G31)</f>
        <v>4487</v>
      </c>
      <c r="H32" s="3">
        <f>SUM(H26:H31)</f>
        <v>2335</v>
      </c>
      <c r="I32" s="3">
        <f>SUM(I26:I31)</f>
        <v>1445</v>
      </c>
      <c r="J32" s="3">
        <f>SUM(J26:J31)</f>
        <v>2315</v>
      </c>
      <c r="K32" s="6">
        <f>SUM(F32:J32)</f>
        <v>17440</v>
      </c>
    </row>
  </sheetData>
  <mergeCells count="4">
    <mergeCell ref="A1:E1"/>
    <mergeCell ref="A3:N3"/>
    <mergeCell ref="F20:H20"/>
    <mergeCell ref="F24:J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Trulip 52 to 65 15-mi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 Nagle</dc:creator>
  <cp:lastModifiedBy>Kirk Nagle</cp:lastModifiedBy>
  <dcterms:created xsi:type="dcterms:W3CDTF">2022-02-16T15:22:05Z</dcterms:created>
  <dcterms:modified xsi:type="dcterms:W3CDTF">2026-10-12T08:43:11Z</dcterms:modified>
</cp:coreProperties>
</file>